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FFFICE\PROJECTS\Data_Collection_ethical\PYTHON_APPLIC\DATASET_DOWNLOAD_APPLIC\"/>
    </mc:Choice>
  </mc:AlternateContent>
  <xr:revisionPtr revIDLastSave="0" documentId="8_{6072D332-52CA-4BB7-899F-9521EF1D7784}" xr6:coauthVersionLast="47" xr6:coauthVersionMax="47" xr10:uidLastSave="{00000000-0000-0000-0000-000000000000}"/>
  <bookViews>
    <workbookView xWindow="-108" yWindow="-108" windowWidth="23256" windowHeight="12576" xr2:uid="{D428BACC-3AED-45D4-BA2F-01382A2BBB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6" i="1" l="1"/>
  <c r="O16" i="1"/>
  <c r="N16" i="1"/>
  <c r="M16" i="1" s="1"/>
  <c r="AA15" i="1"/>
  <c r="Z15" i="1"/>
  <c r="Y15" i="1"/>
  <c r="AC15" i="1" s="1"/>
  <c r="X15" i="1"/>
  <c r="AB15" i="1" s="1"/>
  <c r="P15" i="1"/>
  <c r="O15" i="1"/>
  <c r="N15" i="1"/>
  <c r="M15" i="1" s="1"/>
  <c r="AA14" i="1"/>
  <c r="Z14" i="1"/>
  <c r="Y14" i="1"/>
  <c r="AC14" i="1" s="1"/>
  <c r="X14" i="1"/>
  <c r="AB14" i="1" s="1"/>
  <c r="P14" i="1"/>
  <c r="O14" i="1"/>
  <c r="N14" i="1"/>
  <c r="M14" i="1"/>
  <c r="AA13" i="1"/>
  <c r="Z13" i="1"/>
  <c r="Y13" i="1"/>
  <c r="AC13" i="1" s="1"/>
  <c r="X13" i="1"/>
  <c r="AB13" i="1" s="1"/>
  <c r="P13" i="1"/>
  <c r="O13" i="1"/>
  <c r="N13" i="1"/>
  <c r="M13" i="1"/>
  <c r="AC12" i="1"/>
  <c r="AA12" i="1"/>
  <c r="Z12" i="1"/>
  <c r="Y12" i="1"/>
  <c r="X12" i="1"/>
  <c r="AB12" i="1" s="1"/>
  <c r="P12" i="1"/>
  <c r="M12" i="1" s="1"/>
  <c r="O12" i="1"/>
  <c r="N12" i="1"/>
  <c r="AC11" i="1"/>
  <c r="AA11" i="1"/>
  <c r="Z11" i="1"/>
  <c r="Y11" i="1"/>
  <c r="X11" i="1"/>
  <c r="AB11" i="1" s="1"/>
  <c r="P11" i="1"/>
  <c r="O11" i="1"/>
  <c r="N11" i="1"/>
  <c r="M11" i="1" s="1"/>
  <c r="AA10" i="1"/>
  <c r="Z10" i="1"/>
  <c r="Y10" i="1"/>
  <c r="AC10" i="1" s="1"/>
  <c r="X10" i="1"/>
  <c r="AB10" i="1" s="1"/>
  <c r="P10" i="1"/>
  <c r="O10" i="1"/>
  <c r="N10" i="1"/>
  <c r="M10" i="1" s="1"/>
  <c r="AB9" i="1"/>
  <c r="AA9" i="1"/>
  <c r="Z9" i="1"/>
  <c r="Y9" i="1"/>
  <c r="AC9" i="1" s="1"/>
  <c r="X9" i="1"/>
  <c r="P9" i="1"/>
  <c r="O9" i="1"/>
  <c r="N9" i="1"/>
  <c r="M9" i="1" s="1"/>
  <c r="AC8" i="1"/>
  <c r="AB8" i="1"/>
  <c r="AA8" i="1"/>
  <c r="Z8" i="1"/>
  <c r="Y8" i="1"/>
  <c r="X8" i="1"/>
  <c r="P8" i="1"/>
  <c r="O8" i="1"/>
  <c r="N8" i="1"/>
  <c r="M8" i="1"/>
  <c r="AA7" i="1"/>
  <c r="Z7" i="1"/>
  <c r="Y7" i="1"/>
  <c r="AC7" i="1" s="1"/>
  <c r="X7" i="1"/>
  <c r="AB7" i="1" s="1"/>
  <c r="P7" i="1"/>
  <c r="O7" i="1"/>
  <c r="N7" i="1"/>
  <c r="M7" i="1" s="1"/>
  <c r="AA6" i="1"/>
  <c r="Z6" i="1"/>
  <c r="Y6" i="1"/>
  <c r="AC6" i="1" s="1"/>
  <c r="X6" i="1"/>
  <c r="AB6" i="1" s="1"/>
  <c r="P6" i="1"/>
  <c r="O6" i="1"/>
  <c r="N6" i="1"/>
  <c r="M6" i="1"/>
  <c r="AC5" i="1"/>
  <c r="AB5" i="1"/>
  <c r="AA5" i="1"/>
  <c r="Z5" i="1"/>
  <c r="Y5" i="1"/>
  <c r="X5" i="1"/>
  <c r="P5" i="1"/>
  <c r="O5" i="1"/>
  <c r="N5" i="1"/>
  <c r="M5" i="1"/>
  <c r="AA4" i="1"/>
  <c r="Z4" i="1"/>
  <c r="Y4" i="1"/>
  <c r="AC4" i="1" s="1"/>
  <c r="X4" i="1"/>
  <c r="AB4" i="1" s="1"/>
  <c r="P4" i="1"/>
  <c r="O4" i="1"/>
  <c r="N4" i="1"/>
  <c r="M4" i="1"/>
  <c r="AC3" i="1"/>
  <c r="AA3" i="1"/>
  <c r="Z3" i="1"/>
  <c r="Y3" i="1"/>
  <c r="X3" i="1"/>
  <c r="AB3" i="1" s="1"/>
  <c r="P3" i="1"/>
  <c r="O3" i="1"/>
  <c r="N3" i="1"/>
  <c r="M3" i="1" s="1"/>
  <c r="AA2" i="1"/>
  <c r="Z2" i="1"/>
  <c r="Y2" i="1"/>
  <c r="AC2" i="1" s="1"/>
  <c r="X2" i="1"/>
  <c r="AB2" i="1" s="1"/>
</calcChain>
</file>

<file path=xl/sharedStrings.xml><?xml version="1.0" encoding="utf-8"?>
<sst xmlns="http://schemas.openxmlformats.org/spreadsheetml/2006/main" count="89" uniqueCount="58">
  <si>
    <t>S.No</t>
  </si>
  <si>
    <t>Session No.</t>
  </si>
  <si>
    <t>Name</t>
  </si>
  <si>
    <t>t1</t>
  </si>
  <si>
    <t>Ambient(T ambient)</t>
  </si>
  <si>
    <t>Forehead(Tf)</t>
  </si>
  <si>
    <t>Gizmo</t>
  </si>
  <si>
    <t>Avani</t>
  </si>
  <si>
    <t>Ganpat</t>
  </si>
  <si>
    <t>God Father</t>
  </si>
  <si>
    <t>Lucky Boy</t>
  </si>
  <si>
    <t>Tarang</t>
  </si>
  <si>
    <t>Toy</t>
  </si>
  <si>
    <t>Trishul</t>
  </si>
  <si>
    <t>Tulip</t>
  </si>
  <si>
    <t>Vidhi</t>
  </si>
  <si>
    <t>Vidyut</t>
  </si>
  <si>
    <t>Vincent</t>
  </si>
  <si>
    <t>Adarsh</t>
  </si>
  <si>
    <t>Grace</t>
  </si>
  <si>
    <t>Tejas</t>
  </si>
  <si>
    <t>Body(Tbody)</t>
  </si>
  <si>
    <t>t2</t>
  </si>
  <si>
    <t>Ambient</t>
  </si>
  <si>
    <t>Forehead</t>
  </si>
  <si>
    <t>max ref temp</t>
  </si>
  <si>
    <t>Ref Temp c</t>
  </si>
  <si>
    <t>Ref Temp f</t>
  </si>
  <si>
    <t>T1</t>
  </si>
  <si>
    <t>T2</t>
  </si>
  <si>
    <t>T3</t>
  </si>
  <si>
    <t>Ref(max)</t>
  </si>
  <si>
    <t>Mean</t>
  </si>
  <si>
    <t>Max</t>
  </si>
  <si>
    <t>SD</t>
  </si>
  <si>
    <t>Range</t>
  </si>
  <si>
    <t>Err_Mean</t>
  </si>
  <si>
    <t>Err_Max</t>
  </si>
  <si>
    <t>temp1</t>
  </si>
  <si>
    <t>temp2</t>
  </si>
  <si>
    <t>temp3</t>
  </si>
  <si>
    <t>101.9</t>
  </si>
  <si>
    <t>102</t>
  </si>
  <si>
    <t>100.5</t>
  </si>
  <si>
    <t>100.6</t>
  </si>
  <si>
    <t>101.0</t>
  </si>
  <si>
    <t>100.9</t>
  </si>
  <si>
    <t>100.4</t>
  </si>
  <si>
    <t>101.4</t>
  </si>
  <si>
    <t>101.6</t>
  </si>
  <si>
    <t>101.5</t>
  </si>
  <si>
    <t>99.7</t>
  </si>
  <si>
    <t>99.6</t>
  </si>
  <si>
    <t>100.2</t>
  </si>
  <si>
    <t>100.3</t>
  </si>
  <si>
    <t>99.5</t>
  </si>
  <si>
    <t>99.3</t>
  </si>
  <si>
    <t>100.7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</si>
</sst>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sz val="11"/>
      <color rgb="FF1F1F1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2" fontId="0" fillId="2" borderId="0" xfId="0" applyNumberFormat="1" applyFill="1"/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2" fontId="0" fillId="3" borderId="0" xfId="0" applyNumberFormat="1" applyFill="1"/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2" fontId="0" fillId="4" borderId="0" xfId="0" applyNumberFormat="1" applyFill="1"/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0" borderId="0" xfId="0" applyFont="1"/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2" fontId="0" fillId="5" borderId="0" xfId="0" applyNumberFormat="1" applyFill="1"/>
    <xf numFmtId="2" fontId="3" fillId="6" borderId="0" xfId="0" applyNumberFormat="1" applyFont="1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DB68B-E42F-4A31-B2D5-BDA7C181BED4}">
  <dimension ref="A1:AC21"/>
  <sheetViews>
    <sheetView tabSelected="1" workbookViewId="0">
      <selection activeCell="F27" sqref="F27"/>
    </sheetView>
  </sheetViews>
  <sheetFormatPr defaultRowHeight="14.4" x14ac:dyDescent="0.3"/>
  <cols>
    <col min="5" max="5" width="25.33203125" customWidth="1"/>
    <col min="6" max="6" width="36.5546875" customWidth="1"/>
    <col min="9" max="10" width="8.88671875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4" t="s">
        <v>22</v>
      </c>
      <c r="H1" s="4"/>
      <c r="I1" s="4"/>
      <c r="J1" s="7" t="s">
        <v>23</v>
      </c>
      <c r="K1" s="7"/>
      <c r="L1" s="7"/>
      <c r="M1" s="10" t="s">
        <v>25</v>
      </c>
      <c r="N1" s="11" t="s">
        <v>26</v>
      </c>
      <c r="O1" s="11"/>
      <c r="P1" s="11"/>
      <c r="Q1" s="12" t="s">
        <v>27</v>
      </c>
      <c r="R1" s="12"/>
      <c r="S1" s="12"/>
      <c r="T1" s="13" t="s">
        <v>28</v>
      </c>
      <c r="U1" s="13" t="s">
        <v>29</v>
      </c>
      <c r="V1" s="13" t="s">
        <v>30</v>
      </c>
      <c r="W1" s="13" t="s">
        <v>31</v>
      </c>
      <c r="X1" s="13" t="s">
        <v>32</v>
      </c>
      <c r="Y1" s="13" t="s">
        <v>33</v>
      </c>
      <c r="Z1" s="13" t="s">
        <v>34</v>
      </c>
      <c r="AA1" s="13" t="s">
        <v>35</v>
      </c>
      <c r="AB1" s="13" t="s">
        <v>36</v>
      </c>
      <c r="AC1" s="13" t="s">
        <v>37</v>
      </c>
    </row>
    <row r="2" spans="1:29" x14ac:dyDescent="0.3">
      <c r="A2" s="1"/>
      <c r="B2" s="1"/>
      <c r="C2" s="1"/>
      <c r="D2" s="2" t="s">
        <v>4</v>
      </c>
      <c r="E2" s="2" t="s">
        <v>5</v>
      </c>
      <c r="F2" s="2" t="s">
        <v>21</v>
      </c>
      <c r="G2" s="5" t="s">
        <v>23</v>
      </c>
      <c r="H2" s="5" t="s">
        <v>24</v>
      </c>
      <c r="I2" s="5" t="s">
        <v>21</v>
      </c>
      <c r="J2" s="8" t="s">
        <v>23</v>
      </c>
      <c r="K2" s="8" t="s">
        <v>24</v>
      </c>
      <c r="L2" s="8" t="s">
        <v>21</v>
      </c>
      <c r="M2" s="10"/>
      <c r="N2" s="14" t="s">
        <v>38</v>
      </c>
      <c r="O2" s="14" t="s">
        <v>39</v>
      </c>
      <c r="P2" s="14" t="s">
        <v>40</v>
      </c>
      <c r="Q2" s="15" t="s">
        <v>38</v>
      </c>
      <c r="R2" s="15" t="s">
        <v>39</v>
      </c>
      <c r="S2" s="15" t="s">
        <v>40</v>
      </c>
      <c r="T2">
        <v>38.82</v>
      </c>
      <c r="U2">
        <v>38.950000000000003</v>
      </c>
      <c r="V2">
        <v>38.869999999999997</v>
      </c>
      <c r="W2">
        <v>38.89</v>
      </c>
      <c r="X2">
        <f t="shared" ref="X2:X15" si="0">AVERAGE(T2:V2)</f>
        <v>38.880000000000003</v>
      </c>
      <c r="Y2">
        <f t="shared" ref="Y2:Y15" si="1">MAX(T2:V2)</f>
        <v>38.950000000000003</v>
      </c>
      <c r="Z2">
        <f>_xlfn.STDEV.S(T2:V2)</f>
        <v>6.5574385243021588E-2</v>
      </c>
      <c r="AA2">
        <f t="shared" ref="AA2:AA15" si="2">MAX(T2:V2)-MIN(T2:V2)</f>
        <v>0.13000000000000256</v>
      </c>
      <c r="AB2">
        <f t="shared" ref="AB2:AB15" si="3">ABS(X2-W2)</f>
        <v>9.9999999999980105E-3</v>
      </c>
      <c r="AC2">
        <f t="shared" ref="AC2:AC15" si="4">ABS(Y2-W2)</f>
        <v>6.0000000000002274E-2</v>
      </c>
    </row>
    <row r="3" spans="1:29" x14ac:dyDescent="0.3">
      <c r="A3">
        <v>1</v>
      </c>
      <c r="B3">
        <v>1</v>
      </c>
      <c r="C3" t="s">
        <v>6</v>
      </c>
      <c r="D3" s="3">
        <v>34.729995700000003</v>
      </c>
      <c r="E3" s="3">
        <v>38.029998800000001</v>
      </c>
      <c r="F3" s="3">
        <v>38.820655979938884</v>
      </c>
      <c r="G3" s="6">
        <v>34.729995700000003</v>
      </c>
      <c r="H3" s="6">
        <v>38.169998200000002</v>
      </c>
      <c r="I3" s="6">
        <v>38.948256666925978</v>
      </c>
      <c r="J3" s="9">
        <v>34.749996199999998</v>
      </c>
      <c r="K3" s="9">
        <v>38.089996300000003</v>
      </c>
      <c r="L3" s="9">
        <v>38.873624608341451</v>
      </c>
      <c r="M3" s="16">
        <f>MAX(N3,O3,P3)</f>
        <v>38.888888888888886</v>
      </c>
      <c r="N3" s="17">
        <f>(Q3- 32)* 5/9</f>
        <v>38.833333333333336</v>
      </c>
      <c r="O3" s="17">
        <f t="shared" ref="O3:P16" si="5">(R3- 32)* 5/9</f>
        <v>38.888888888888886</v>
      </c>
      <c r="P3" s="17">
        <f t="shared" si="5"/>
        <v>38.888888888888886</v>
      </c>
      <c r="Q3" s="18" t="s">
        <v>41</v>
      </c>
      <c r="R3" s="18" t="s">
        <v>42</v>
      </c>
      <c r="S3" s="18" t="s">
        <v>42</v>
      </c>
      <c r="T3">
        <v>38.18</v>
      </c>
      <c r="U3">
        <v>37.880000000000003</v>
      </c>
      <c r="V3">
        <v>38.29</v>
      </c>
      <c r="W3">
        <v>38.11</v>
      </c>
      <c r="X3">
        <f t="shared" si="0"/>
        <v>38.116666666666667</v>
      </c>
      <c r="Y3">
        <f t="shared" si="1"/>
        <v>38.29</v>
      </c>
      <c r="Z3">
        <f t="shared" ref="Z3:Z15" si="6">_xlfn.STDEV.S(T3:V3)</f>
        <v>0.21221058723195826</v>
      </c>
      <c r="AA3">
        <f t="shared" si="2"/>
        <v>0.40999999999999659</v>
      </c>
      <c r="AB3">
        <f t="shared" si="3"/>
        <v>6.6666666666677088E-3</v>
      </c>
      <c r="AC3">
        <f t="shared" si="4"/>
        <v>0.17999999999999972</v>
      </c>
    </row>
    <row r="4" spans="1:29" x14ac:dyDescent="0.3">
      <c r="A4">
        <v>2</v>
      </c>
      <c r="B4">
        <v>1</v>
      </c>
      <c r="C4" t="s">
        <v>7</v>
      </c>
      <c r="D4" s="3">
        <v>35.749996199999998</v>
      </c>
      <c r="E4" s="3">
        <v>37.429996500000001</v>
      </c>
      <c r="F4" s="3">
        <v>38.18447854746649</v>
      </c>
      <c r="G4" s="6">
        <v>35.729995700000003</v>
      </c>
      <c r="H4" s="6">
        <v>37.089996300000003</v>
      </c>
      <c r="I4" s="6">
        <v>37.875541751870237</v>
      </c>
      <c r="J4" s="9">
        <v>35.749996199999998</v>
      </c>
      <c r="K4" s="9">
        <v>37.5499954</v>
      </c>
      <c r="L4" s="9">
        <v>38.294139435196882</v>
      </c>
      <c r="M4" s="16">
        <f t="shared" ref="M4:M16" si="7">MAX(N4,O4,P4)</f>
        <v>38.111111111111114</v>
      </c>
      <c r="N4" s="17">
        <f t="shared" ref="N4:N16" si="8">(Q4- 32)* 5/9</f>
        <v>38.055555555555557</v>
      </c>
      <c r="O4" s="17">
        <f t="shared" si="5"/>
        <v>38.055555555555557</v>
      </c>
      <c r="P4" s="17">
        <f t="shared" si="5"/>
        <v>38.111111111111114</v>
      </c>
      <c r="Q4" s="18" t="s">
        <v>43</v>
      </c>
      <c r="R4" s="18" t="s">
        <v>43</v>
      </c>
      <c r="S4" s="18" t="s">
        <v>44</v>
      </c>
      <c r="T4">
        <v>38.130000000000003</v>
      </c>
      <c r="U4">
        <v>38.159999999999997</v>
      </c>
      <c r="V4">
        <v>38.25</v>
      </c>
      <c r="W4">
        <v>38.33</v>
      </c>
      <c r="X4">
        <f t="shared" si="0"/>
        <v>38.18</v>
      </c>
      <c r="Y4">
        <f t="shared" si="1"/>
        <v>38.25</v>
      </c>
      <c r="Z4">
        <f t="shared" si="6"/>
        <v>6.2449979983983502E-2</v>
      </c>
      <c r="AA4">
        <f t="shared" si="2"/>
        <v>0.11999999999999744</v>
      </c>
      <c r="AB4">
        <f t="shared" si="3"/>
        <v>0.14999999999999858</v>
      </c>
      <c r="AC4">
        <f t="shared" si="4"/>
        <v>7.9999999999998295E-2</v>
      </c>
    </row>
    <row r="5" spans="1:29" x14ac:dyDescent="0.3">
      <c r="A5">
        <v>3</v>
      </c>
      <c r="B5">
        <v>1</v>
      </c>
      <c r="C5" t="s">
        <v>8</v>
      </c>
      <c r="D5" s="3">
        <v>34.949996900000002</v>
      </c>
      <c r="E5" s="3">
        <v>37.289997100000001</v>
      </c>
      <c r="F5" s="3">
        <v>38.126895891986123</v>
      </c>
      <c r="G5" s="6">
        <v>34.969997399999997</v>
      </c>
      <c r="H5" s="6">
        <v>37.329998000000003</v>
      </c>
      <c r="I5" s="6">
        <v>38.161621658206997</v>
      </c>
      <c r="J5" s="9">
        <v>35.009998299999999</v>
      </c>
      <c r="K5" s="9">
        <v>37.429996500000001</v>
      </c>
      <c r="L5" s="9">
        <v>38.249322960441901</v>
      </c>
      <c r="M5" s="16">
        <f t="shared" si="7"/>
        <v>38.333333333333336</v>
      </c>
      <c r="N5" s="17">
        <f t="shared" si="8"/>
        <v>38.333333333333336</v>
      </c>
      <c r="O5" s="17">
        <f t="shared" si="5"/>
        <v>38.333333333333336</v>
      </c>
      <c r="P5" s="17">
        <f t="shared" si="5"/>
        <v>38.277777777777779</v>
      </c>
      <c r="Q5" s="18" t="s">
        <v>45</v>
      </c>
      <c r="R5" s="18" t="s">
        <v>45</v>
      </c>
      <c r="S5" s="18" t="s">
        <v>46</v>
      </c>
      <c r="T5">
        <v>37.79</v>
      </c>
      <c r="U5">
        <v>37.79</v>
      </c>
      <c r="V5">
        <v>37.86</v>
      </c>
      <c r="W5">
        <v>38.11</v>
      </c>
      <c r="X5">
        <f t="shared" si="0"/>
        <v>37.813333333333333</v>
      </c>
      <c r="Y5">
        <f t="shared" si="1"/>
        <v>37.86</v>
      </c>
      <c r="Z5">
        <f t="shared" si="6"/>
        <v>4.0414518843273968E-2</v>
      </c>
      <c r="AA5">
        <f t="shared" si="2"/>
        <v>7.0000000000000284E-2</v>
      </c>
      <c r="AB5">
        <f t="shared" si="3"/>
        <v>0.29666666666666686</v>
      </c>
      <c r="AC5">
        <f t="shared" si="4"/>
        <v>0.25</v>
      </c>
    </row>
    <row r="6" spans="1:29" x14ac:dyDescent="0.3">
      <c r="A6">
        <v>4</v>
      </c>
      <c r="B6">
        <v>1</v>
      </c>
      <c r="C6" t="s">
        <v>9</v>
      </c>
      <c r="D6" s="3">
        <v>35.069995900000002</v>
      </c>
      <c r="E6" s="3">
        <v>36.929996500000001</v>
      </c>
      <c r="F6" s="3">
        <v>37.78795450097072</v>
      </c>
      <c r="G6" s="6">
        <v>35.069995900000002</v>
      </c>
      <c r="H6" s="6">
        <v>36.929996500000001</v>
      </c>
      <c r="I6" s="6">
        <v>37.78795450097072</v>
      </c>
      <c r="J6" s="9">
        <v>35.069995900000002</v>
      </c>
      <c r="K6" s="9">
        <v>37.009998299999999</v>
      </c>
      <c r="L6" s="9">
        <v>37.860935446406437</v>
      </c>
      <c r="M6" s="16">
        <f t="shared" si="7"/>
        <v>38.111111111111114</v>
      </c>
      <c r="N6" s="17">
        <f t="shared" si="8"/>
        <v>38</v>
      </c>
      <c r="O6" s="17">
        <f t="shared" si="5"/>
        <v>38.111111111111114</v>
      </c>
      <c r="P6" s="17">
        <f t="shared" si="5"/>
        <v>38</v>
      </c>
      <c r="Q6" s="18" t="s">
        <v>47</v>
      </c>
      <c r="R6" s="18" t="s">
        <v>44</v>
      </c>
      <c r="S6" s="18" t="s">
        <v>47</v>
      </c>
      <c r="T6">
        <v>38.42</v>
      </c>
      <c r="U6">
        <v>38.369999999999997</v>
      </c>
      <c r="V6">
        <v>38.53</v>
      </c>
      <c r="W6">
        <v>38.67</v>
      </c>
      <c r="X6">
        <f t="shared" si="0"/>
        <v>38.44</v>
      </c>
      <c r="Y6">
        <f t="shared" si="1"/>
        <v>38.53</v>
      </c>
      <c r="Z6">
        <f t="shared" si="6"/>
        <v>8.1853527718726005E-2</v>
      </c>
      <c r="AA6">
        <f t="shared" si="2"/>
        <v>0.16000000000000369</v>
      </c>
      <c r="AB6">
        <f t="shared" si="3"/>
        <v>0.23000000000000398</v>
      </c>
      <c r="AC6">
        <f t="shared" si="4"/>
        <v>0.14000000000000057</v>
      </c>
    </row>
    <row r="7" spans="1:29" x14ac:dyDescent="0.3">
      <c r="A7">
        <v>5</v>
      </c>
      <c r="B7">
        <v>1</v>
      </c>
      <c r="C7" t="s">
        <v>10</v>
      </c>
      <c r="D7" s="3">
        <v>35.509998299999999</v>
      </c>
      <c r="E7" s="3">
        <v>37.669998200000002</v>
      </c>
      <c r="F7" s="3">
        <v>38.424726564835581</v>
      </c>
      <c r="G7" s="6">
        <v>35.529998800000001</v>
      </c>
      <c r="H7" s="6">
        <v>37.609996799999998</v>
      </c>
      <c r="I7" s="6">
        <v>38.368182974874316</v>
      </c>
      <c r="J7" s="9">
        <v>35.589996300000003</v>
      </c>
      <c r="K7" s="9">
        <v>37.789997100000001</v>
      </c>
      <c r="L7" s="9">
        <v>38.527370969650391</v>
      </c>
      <c r="M7" s="16">
        <f t="shared" si="7"/>
        <v>38.666666666666664</v>
      </c>
      <c r="N7" s="17">
        <f t="shared" si="8"/>
        <v>38.555555555555557</v>
      </c>
      <c r="O7" s="17">
        <f t="shared" si="5"/>
        <v>38.666666666666664</v>
      </c>
      <c r="P7" s="17">
        <f t="shared" si="5"/>
        <v>38.611111111111114</v>
      </c>
      <c r="Q7" s="18" t="s">
        <v>48</v>
      </c>
      <c r="R7" s="18" t="s">
        <v>49</v>
      </c>
      <c r="S7" s="18" t="s">
        <v>50</v>
      </c>
      <c r="T7">
        <v>37.58</v>
      </c>
      <c r="U7">
        <v>37.68</v>
      </c>
      <c r="V7">
        <v>37.86</v>
      </c>
      <c r="W7">
        <v>37.61</v>
      </c>
      <c r="X7">
        <f t="shared" si="0"/>
        <v>37.706666666666663</v>
      </c>
      <c r="Y7">
        <f t="shared" si="1"/>
        <v>37.86</v>
      </c>
      <c r="Z7">
        <f t="shared" si="6"/>
        <v>0.14189197769195222</v>
      </c>
      <c r="AA7">
        <f t="shared" si="2"/>
        <v>0.28000000000000114</v>
      </c>
      <c r="AB7">
        <f t="shared" si="3"/>
        <v>9.6666666666664014E-2</v>
      </c>
      <c r="AC7">
        <f t="shared" si="4"/>
        <v>0.25</v>
      </c>
    </row>
    <row r="8" spans="1:29" x14ac:dyDescent="0.3">
      <c r="A8">
        <v>6</v>
      </c>
      <c r="B8">
        <v>1</v>
      </c>
      <c r="C8" t="s">
        <v>11</v>
      </c>
      <c r="D8" s="3">
        <v>35.369998899999999</v>
      </c>
      <c r="E8" s="3">
        <v>36.729995700000003</v>
      </c>
      <c r="F8" s="3">
        <v>37.578743061848733</v>
      </c>
      <c r="G8" s="6">
        <v>35.409996</v>
      </c>
      <c r="H8" s="6">
        <v>36.849998499999998</v>
      </c>
      <c r="I8" s="6">
        <v>37.684739794604205</v>
      </c>
      <c r="J8" s="9">
        <v>35.449996900000002</v>
      </c>
      <c r="K8" s="9">
        <v>37.0499954</v>
      </c>
      <c r="L8" s="9">
        <v>37.863803925897678</v>
      </c>
      <c r="M8" s="16">
        <f t="shared" si="7"/>
        <v>37.611111111111114</v>
      </c>
      <c r="N8" s="17">
        <f t="shared" si="8"/>
        <v>37.611111111111114</v>
      </c>
      <c r="O8" s="17">
        <f t="shared" si="5"/>
        <v>37.555555555555557</v>
      </c>
      <c r="P8" s="17">
        <f t="shared" si="5"/>
        <v>37.611111111111114</v>
      </c>
      <c r="Q8" s="18" t="s">
        <v>51</v>
      </c>
      <c r="R8" s="18" t="s">
        <v>52</v>
      </c>
      <c r="S8" s="18" t="s">
        <v>51</v>
      </c>
      <c r="T8">
        <v>38.22</v>
      </c>
      <c r="U8">
        <v>38.04</v>
      </c>
      <c r="V8">
        <v>38.090000000000003</v>
      </c>
      <c r="W8">
        <v>38.11</v>
      </c>
      <c r="X8">
        <f t="shared" si="0"/>
        <v>38.116666666666667</v>
      </c>
      <c r="Y8">
        <f t="shared" si="1"/>
        <v>38.22</v>
      </c>
      <c r="Z8">
        <f t="shared" si="6"/>
        <v>9.2915732431774922E-2</v>
      </c>
      <c r="AA8">
        <f t="shared" si="2"/>
        <v>0.17999999999999972</v>
      </c>
      <c r="AB8">
        <f t="shared" si="3"/>
        <v>6.6666666666677088E-3</v>
      </c>
      <c r="AC8">
        <f t="shared" si="4"/>
        <v>0.10999999999999943</v>
      </c>
    </row>
    <row r="9" spans="1:29" x14ac:dyDescent="0.3">
      <c r="A9">
        <v>7</v>
      </c>
      <c r="B9">
        <v>1</v>
      </c>
      <c r="C9" t="s">
        <v>12</v>
      </c>
      <c r="D9" s="3">
        <v>35.109996799999998</v>
      </c>
      <c r="E9" s="3">
        <v>37.409996</v>
      </c>
      <c r="F9" s="3">
        <v>38.222328267031934</v>
      </c>
      <c r="G9" s="6">
        <v>35.109996799999998</v>
      </c>
      <c r="H9" s="6">
        <v>37.209999099999997</v>
      </c>
      <c r="I9" s="6">
        <v>38.039863920875703</v>
      </c>
      <c r="J9" s="9">
        <v>35.109996799999998</v>
      </c>
      <c r="K9" s="9">
        <v>37.269996599999999</v>
      </c>
      <c r="L9" s="9">
        <v>38.094601792355256</v>
      </c>
      <c r="M9" s="16">
        <f t="shared" si="7"/>
        <v>38.111111111111114</v>
      </c>
      <c r="N9" s="17">
        <f t="shared" si="8"/>
        <v>38.111111111111114</v>
      </c>
      <c r="O9" s="17">
        <f t="shared" si="5"/>
        <v>38</v>
      </c>
      <c r="P9" s="17">
        <f t="shared" si="5"/>
        <v>38.055555555555557</v>
      </c>
      <c r="Q9" s="18" t="s">
        <v>44</v>
      </c>
      <c r="R9" s="18" t="s">
        <v>47</v>
      </c>
      <c r="S9" s="18" t="s">
        <v>43</v>
      </c>
      <c r="T9">
        <v>37.78</v>
      </c>
      <c r="U9">
        <v>37.69</v>
      </c>
      <c r="V9">
        <v>37.729999999999997</v>
      </c>
      <c r="W9">
        <v>38.06</v>
      </c>
      <c r="X9">
        <f t="shared" si="0"/>
        <v>37.733333333333327</v>
      </c>
      <c r="Y9">
        <f t="shared" si="1"/>
        <v>37.78</v>
      </c>
      <c r="Z9">
        <f t="shared" si="6"/>
        <v>4.5092497528230739E-2</v>
      </c>
      <c r="AA9">
        <f t="shared" si="2"/>
        <v>9.0000000000003411E-2</v>
      </c>
      <c r="AB9">
        <f t="shared" si="3"/>
        <v>0.3266666666666751</v>
      </c>
      <c r="AC9">
        <f t="shared" si="4"/>
        <v>0.28000000000000114</v>
      </c>
    </row>
    <row r="10" spans="1:29" x14ac:dyDescent="0.3">
      <c r="A10">
        <v>8</v>
      </c>
      <c r="B10">
        <v>1</v>
      </c>
      <c r="C10" t="s">
        <v>13</v>
      </c>
      <c r="D10" s="3">
        <v>35.309997600000003</v>
      </c>
      <c r="E10" s="3">
        <v>36.949996900000002</v>
      </c>
      <c r="F10" s="3">
        <v>37.784918042040879</v>
      </c>
      <c r="G10" s="6">
        <v>35.349998499999998</v>
      </c>
      <c r="H10" s="6">
        <v>36.849998499999998</v>
      </c>
      <c r="I10" s="6">
        <v>37.690079524136337</v>
      </c>
      <c r="J10" s="9">
        <v>35.349998499999998</v>
      </c>
      <c r="K10" s="9">
        <v>36.889995599999999</v>
      </c>
      <c r="L10" s="9">
        <v>37.726593010318943</v>
      </c>
      <c r="M10" s="16">
        <f t="shared" si="7"/>
        <v>38.055555555555557</v>
      </c>
      <c r="N10" s="17">
        <f t="shared" si="8"/>
        <v>38.055555555555557</v>
      </c>
      <c r="O10" s="17">
        <f t="shared" si="5"/>
        <v>37.888888888888886</v>
      </c>
      <c r="P10" s="17">
        <f t="shared" si="5"/>
        <v>37.944444444444443</v>
      </c>
      <c r="Q10" s="18" t="s">
        <v>43</v>
      </c>
      <c r="R10" s="18" t="s">
        <v>53</v>
      </c>
      <c r="S10" s="18" t="s">
        <v>54</v>
      </c>
      <c r="T10">
        <v>37.64</v>
      </c>
      <c r="U10">
        <v>37.6</v>
      </c>
      <c r="V10">
        <v>37.74</v>
      </c>
      <c r="W10">
        <v>37.5</v>
      </c>
      <c r="X10">
        <f t="shared" si="0"/>
        <v>37.660000000000004</v>
      </c>
      <c r="Y10">
        <f t="shared" si="1"/>
        <v>37.74</v>
      </c>
      <c r="Z10">
        <f t="shared" si="6"/>
        <v>7.211102550928021E-2</v>
      </c>
      <c r="AA10">
        <f t="shared" si="2"/>
        <v>0.14000000000000057</v>
      </c>
      <c r="AB10">
        <f t="shared" si="3"/>
        <v>0.16000000000000369</v>
      </c>
      <c r="AC10">
        <f t="shared" si="4"/>
        <v>0.24000000000000199</v>
      </c>
    </row>
    <row r="11" spans="1:29" x14ac:dyDescent="0.3">
      <c r="A11">
        <v>9</v>
      </c>
      <c r="B11">
        <v>1</v>
      </c>
      <c r="C11" t="s">
        <v>14</v>
      </c>
      <c r="D11" s="3">
        <v>34.709999099999997</v>
      </c>
      <c r="E11" s="3">
        <v>36.729995700000003</v>
      </c>
      <c r="F11" s="3">
        <v>37.63756366863069</v>
      </c>
      <c r="G11" s="6">
        <v>34.729995700000003</v>
      </c>
      <c r="H11" s="6">
        <v>36.689998600000003</v>
      </c>
      <c r="I11" s="6">
        <v>37.599329702234542</v>
      </c>
      <c r="J11" s="9">
        <v>34.749996199999998</v>
      </c>
      <c r="K11" s="9">
        <v>36.849998499999998</v>
      </c>
      <c r="L11" s="9">
        <v>37.743385617236953</v>
      </c>
      <c r="M11" s="16">
        <f t="shared" si="7"/>
        <v>37.5</v>
      </c>
      <c r="N11" s="17">
        <f t="shared" si="8"/>
        <v>37.5</v>
      </c>
      <c r="O11" s="17">
        <f t="shared" si="5"/>
        <v>37.388888888888886</v>
      </c>
      <c r="P11" s="17">
        <f t="shared" si="5"/>
        <v>37.5</v>
      </c>
      <c r="Q11" s="18" t="s">
        <v>55</v>
      </c>
      <c r="R11" s="18" t="s">
        <v>56</v>
      </c>
      <c r="S11" s="18" t="s">
        <v>55</v>
      </c>
      <c r="T11">
        <v>37.840000000000003</v>
      </c>
      <c r="U11">
        <v>37.74</v>
      </c>
      <c r="V11">
        <v>37.71</v>
      </c>
      <c r="W11">
        <v>37.5</v>
      </c>
      <c r="X11">
        <f t="shared" si="0"/>
        <v>37.763333333333343</v>
      </c>
      <c r="Y11">
        <f t="shared" si="1"/>
        <v>37.840000000000003</v>
      </c>
      <c r="Z11">
        <f t="shared" si="6"/>
        <v>6.8068592855541704E-2</v>
      </c>
      <c r="AA11">
        <f t="shared" si="2"/>
        <v>0.13000000000000256</v>
      </c>
      <c r="AB11">
        <f t="shared" si="3"/>
        <v>0.26333333333334252</v>
      </c>
      <c r="AC11">
        <f t="shared" si="4"/>
        <v>0.34000000000000341</v>
      </c>
    </row>
    <row r="12" spans="1:29" x14ac:dyDescent="0.3">
      <c r="B12">
        <v>2</v>
      </c>
      <c r="C12" t="s">
        <v>14</v>
      </c>
      <c r="D12" s="3">
        <v>34.729995700000003</v>
      </c>
      <c r="E12" s="3">
        <v>36.949996900000002</v>
      </c>
      <c r="F12" s="3">
        <v>37.836301872797243</v>
      </c>
      <c r="G12" s="6">
        <v>34.749996199999998</v>
      </c>
      <c r="H12" s="6">
        <v>36.849998499999998</v>
      </c>
      <c r="I12" s="6">
        <v>37.743385617236953</v>
      </c>
      <c r="J12" s="9">
        <v>34.769996599999999</v>
      </c>
      <c r="K12" s="9">
        <v>36.809997600000003</v>
      </c>
      <c r="L12" s="9">
        <v>37.705149362604601</v>
      </c>
      <c r="M12" s="16">
        <f t="shared" si="7"/>
        <v>37.5</v>
      </c>
      <c r="N12" s="17">
        <f t="shared" si="8"/>
        <v>37.5</v>
      </c>
      <c r="O12" s="17">
        <f t="shared" si="5"/>
        <v>37.388888888888886</v>
      </c>
      <c r="P12" s="17">
        <f t="shared" si="5"/>
        <v>37.5</v>
      </c>
      <c r="Q12" s="18" t="s">
        <v>55</v>
      </c>
      <c r="R12" s="18" t="s">
        <v>56</v>
      </c>
      <c r="S12" s="18" t="s">
        <v>55</v>
      </c>
      <c r="T12">
        <v>37.9</v>
      </c>
      <c r="U12">
        <v>37.93</v>
      </c>
      <c r="V12">
        <v>38</v>
      </c>
      <c r="W12">
        <v>37.83</v>
      </c>
      <c r="X12">
        <f t="shared" si="0"/>
        <v>37.943333333333335</v>
      </c>
      <c r="Y12">
        <f t="shared" si="1"/>
        <v>38</v>
      </c>
      <c r="Z12">
        <f t="shared" si="6"/>
        <v>5.1316014394469478E-2</v>
      </c>
      <c r="AA12">
        <f t="shared" si="2"/>
        <v>0.10000000000000142</v>
      </c>
      <c r="AB12">
        <f t="shared" si="3"/>
        <v>0.11333333333333684</v>
      </c>
      <c r="AC12">
        <f t="shared" si="4"/>
        <v>0.17000000000000171</v>
      </c>
    </row>
    <row r="13" spans="1:29" x14ac:dyDescent="0.3">
      <c r="A13">
        <v>10</v>
      </c>
      <c r="B13">
        <v>1</v>
      </c>
      <c r="C13" t="s">
        <v>15</v>
      </c>
      <c r="D13" s="3">
        <v>35.069995900000002</v>
      </c>
      <c r="E13" s="3">
        <v>37.0499954</v>
      </c>
      <c r="F13" s="3">
        <v>37.897422452607387</v>
      </c>
      <c r="G13" s="6">
        <v>35.129997299999999</v>
      </c>
      <c r="H13" s="6">
        <v>37.089996300000003</v>
      </c>
      <c r="I13" s="6">
        <v>37.92861484172213</v>
      </c>
      <c r="J13" s="9">
        <v>35.129997299999999</v>
      </c>
      <c r="K13" s="9">
        <v>37.169998200000002</v>
      </c>
      <c r="L13" s="9">
        <v>38.001607228197351</v>
      </c>
      <c r="M13" s="16">
        <f t="shared" si="7"/>
        <v>37.833333333333336</v>
      </c>
      <c r="N13" s="17">
        <f t="shared" si="8"/>
        <v>37.833333333333336</v>
      </c>
      <c r="O13" s="17">
        <f t="shared" si="5"/>
        <v>37.833333333333336</v>
      </c>
      <c r="P13" s="17">
        <f t="shared" si="5"/>
        <v>37.833333333333336</v>
      </c>
      <c r="Q13" s="18">
        <v>100.1</v>
      </c>
      <c r="R13" s="18">
        <v>100.1</v>
      </c>
      <c r="S13" s="18">
        <v>100.1</v>
      </c>
      <c r="T13">
        <v>37.93</v>
      </c>
      <c r="U13">
        <v>37.869999999999997</v>
      </c>
      <c r="V13">
        <v>37.869999999999997</v>
      </c>
      <c r="W13">
        <v>37.83</v>
      </c>
      <c r="X13">
        <f t="shared" si="0"/>
        <v>37.889999999999993</v>
      </c>
      <c r="Y13">
        <f t="shared" si="1"/>
        <v>37.93</v>
      </c>
      <c r="Z13">
        <f t="shared" si="6"/>
        <v>3.4641016151378864E-2</v>
      </c>
      <c r="AA13">
        <f t="shared" si="2"/>
        <v>6.0000000000002274E-2</v>
      </c>
      <c r="AB13">
        <f t="shared" si="3"/>
        <v>5.9999999999995168E-2</v>
      </c>
      <c r="AC13">
        <f t="shared" si="4"/>
        <v>0.10000000000000142</v>
      </c>
    </row>
    <row r="14" spans="1:29" x14ac:dyDescent="0.3">
      <c r="B14">
        <v>2</v>
      </c>
      <c r="C14" t="s">
        <v>15</v>
      </c>
      <c r="D14" s="3">
        <v>35.169998200000002</v>
      </c>
      <c r="E14" s="3">
        <v>37.089996300000003</v>
      </c>
      <c r="F14" s="3">
        <v>37.925081843113574</v>
      </c>
      <c r="G14" s="6">
        <v>35.189998600000003</v>
      </c>
      <c r="H14" s="6">
        <v>37.029998800000001</v>
      </c>
      <c r="I14" s="6">
        <v>37.868565843938576</v>
      </c>
      <c r="J14" s="9">
        <v>35.189998600000003</v>
      </c>
      <c r="K14" s="9">
        <v>37.029998800000001</v>
      </c>
      <c r="L14" s="9">
        <v>37.868565843938576</v>
      </c>
      <c r="M14" s="16">
        <f t="shared" si="7"/>
        <v>37.833333333333336</v>
      </c>
      <c r="N14" s="17">
        <f t="shared" si="8"/>
        <v>37.833333333333336</v>
      </c>
      <c r="O14" s="17">
        <f t="shared" si="5"/>
        <v>37.833333333333336</v>
      </c>
      <c r="P14" s="17">
        <f t="shared" si="5"/>
        <v>37.833333333333336</v>
      </c>
      <c r="Q14" s="18">
        <v>100.1</v>
      </c>
      <c r="R14" s="18">
        <v>100.1</v>
      </c>
      <c r="S14" s="18">
        <v>100.1</v>
      </c>
      <c r="T14">
        <v>38.22</v>
      </c>
      <c r="U14">
        <v>38.090000000000003</v>
      </c>
      <c r="V14">
        <v>38.14</v>
      </c>
      <c r="W14">
        <v>38.17</v>
      </c>
      <c r="X14">
        <f t="shared" si="0"/>
        <v>38.15</v>
      </c>
      <c r="Y14">
        <f t="shared" si="1"/>
        <v>38.22</v>
      </c>
      <c r="Z14">
        <f t="shared" si="6"/>
        <v>6.5574385243017785E-2</v>
      </c>
      <c r="AA14">
        <f t="shared" si="2"/>
        <v>0.12999999999999545</v>
      </c>
      <c r="AB14">
        <f t="shared" si="3"/>
        <v>2.0000000000003126E-2</v>
      </c>
      <c r="AC14">
        <f t="shared" si="4"/>
        <v>4.9999999999997158E-2</v>
      </c>
    </row>
    <row r="15" spans="1:29" x14ac:dyDescent="0.3">
      <c r="A15">
        <v>11</v>
      </c>
      <c r="B15">
        <v>1</v>
      </c>
      <c r="C15" t="s">
        <v>16</v>
      </c>
      <c r="D15" s="3">
        <v>35.169998200000002</v>
      </c>
      <c r="E15" s="3">
        <v>37.409996</v>
      </c>
      <c r="F15" s="3">
        <v>38.21707444658945</v>
      </c>
      <c r="G15" s="6">
        <v>35.189998600000003</v>
      </c>
      <c r="H15" s="6">
        <v>37.269996599999999</v>
      </c>
      <c r="I15" s="6">
        <v>38.087569843805909</v>
      </c>
      <c r="J15" s="9">
        <v>35.189998600000003</v>
      </c>
      <c r="K15" s="9">
        <v>37.329998000000003</v>
      </c>
      <c r="L15" s="9">
        <v>38.142322623196556</v>
      </c>
      <c r="M15" s="16">
        <f t="shared" si="7"/>
        <v>38.166666666666664</v>
      </c>
      <c r="N15" s="17">
        <f t="shared" si="8"/>
        <v>38.111111111111114</v>
      </c>
      <c r="O15" s="17">
        <f t="shared" si="5"/>
        <v>38.166666666666664</v>
      </c>
      <c r="P15" s="17">
        <f t="shared" si="5"/>
        <v>38.111111111111114</v>
      </c>
      <c r="Q15" s="18" t="s">
        <v>44</v>
      </c>
      <c r="R15" s="18" t="s">
        <v>57</v>
      </c>
      <c r="S15" s="18" t="s">
        <v>44</v>
      </c>
      <c r="T15">
        <v>38.159999999999997</v>
      </c>
      <c r="U15">
        <v>38.01</v>
      </c>
      <c r="V15">
        <v>38.049999999999997</v>
      </c>
      <c r="W15">
        <v>37.94</v>
      </c>
      <c r="X15">
        <f t="shared" si="0"/>
        <v>38.073333333333331</v>
      </c>
      <c r="Y15">
        <f t="shared" si="1"/>
        <v>38.159999999999997</v>
      </c>
      <c r="Z15">
        <f t="shared" si="6"/>
        <v>7.7674534651539617E-2</v>
      </c>
      <c r="AA15">
        <f t="shared" si="2"/>
        <v>0.14999999999999858</v>
      </c>
      <c r="AB15">
        <f t="shared" si="3"/>
        <v>0.13333333333333286</v>
      </c>
      <c r="AC15">
        <f t="shared" si="4"/>
        <v>0.21999999999999886</v>
      </c>
    </row>
    <row r="16" spans="1:29" x14ac:dyDescent="0.3">
      <c r="A16">
        <v>12</v>
      </c>
      <c r="B16">
        <v>1</v>
      </c>
      <c r="C16" t="s">
        <v>17</v>
      </c>
      <c r="D16" s="3">
        <v>35.029998800000001</v>
      </c>
      <c r="E16" s="3">
        <v>37.329998000000003</v>
      </c>
      <c r="F16" s="3">
        <v>38.156360460826441</v>
      </c>
      <c r="G16" s="6">
        <v>35.029998800000001</v>
      </c>
      <c r="H16" s="6">
        <v>37.169998200000002</v>
      </c>
      <c r="I16" s="6">
        <v>38.010417167730587</v>
      </c>
      <c r="J16" s="9">
        <v>35.029998800000001</v>
      </c>
      <c r="K16" s="9">
        <v>37.209999099999997</v>
      </c>
      <c r="L16" s="9">
        <v>38.046903857543931</v>
      </c>
      <c r="M16" s="16">
        <f t="shared" si="7"/>
        <v>37.944444444444443</v>
      </c>
      <c r="N16" s="17">
        <f t="shared" si="8"/>
        <v>37.888888888888886</v>
      </c>
      <c r="O16" s="17">
        <f t="shared" si="5"/>
        <v>37.944444444444443</v>
      </c>
      <c r="P16" s="17">
        <f t="shared" si="5"/>
        <v>37.944444444444443</v>
      </c>
      <c r="Q16" s="18" t="s">
        <v>53</v>
      </c>
      <c r="R16" s="18" t="s">
        <v>54</v>
      </c>
      <c r="S16" s="18" t="s">
        <v>54</v>
      </c>
    </row>
    <row r="17" spans="1:12" x14ac:dyDescent="0.3">
      <c r="A17">
        <v>13</v>
      </c>
      <c r="B17">
        <v>1</v>
      </c>
      <c r="C17" t="s">
        <v>18</v>
      </c>
      <c r="D17" s="3">
        <v>34.5499954</v>
      </c>
      <c r="E17" s="3">
        <v>37.129997299999999</v>
      </c>
      <c r="F17" s="3">
        <v>38.016198693499639</v>
      </c>
      <c r="G17" s="6">
        <v>34.5499954</v>
      </c>
      <c r="H17" s="6">
        <v>37.289997100000001</v>
      </c>
      <c r="I17" s="6">
        <v>38.161960397040033</v>
      </c>
      <c r="J17" s="9">
        <v>34.609996799999998</v>
      </c>
      <c r="K17" s="9">
        <v>37.169998200000002</v>
      </c>
      <c r="L17" s="9">
        <v>38.047368005481957</v>
      </c>
    </row>
    <row r="18" spans="1:12" x14ac:dyDescent="0.3">
      <c r="A18">
        <v>14</v>
      </c>
      <c r="B18">
        <v>1</v>
      </c>
      <c r="C18" t="s">
        <v>19</v>
      </c>
      <c r="D18" s="3">
        <v>34.269996599999999</v>
      </c>
      <c r="E18" s="3">
        <v>37.409996</v>
      </c>
      <c r="F18" s="3">
        <v>38.295701302994786</v>
      </c>
      <c r="G18" s="6">
        <v>34.289997100000001</v>
      </c>
      <c r="H18" s="6">
        <v>37.349998499999998</v>
      </c>
      <c r="I18" s="6">
        <v>38.239336614217301</v>
      </c>
      <c r="J18" s="9">
        <v>34.309997600000003</v>
      </c>
      <c r="K18" s="9">
        <v>37.369998899999999</v>
      </c>
      <c r="L18" s="9">
        <v>38.255799695960128</v>
      </c>
    </row>
    <row r="19" spans="1:12" x14ac:dyDescent="0.3">
      <c r="A19">
        <v>15</v>
      </c>
      <c r="B19">
        <v>1</v>
      </c>
      <c r="C19" t="s">
        <v>20</v>
      </c>
      <c r="D19" s="3">
        <v>34.069995900000002</v>
      </c>
      <c r="E19" s="3">
        <v>36.069995900000002</v>
      </c>
      <c r="F19" s="3">
        <v>37.09388686800272</v>
      </c>
      <c r="G19" s="6">
        <v>34.049999200000002</v>
      </c>
      <c r="H19" s="6">
        <v>36.5499954</v>
      </c>
      <c r="I19" s="6">
        <v>37.53240869794476</v>
      </c>
      <c r="J19" s="9">
        <v>34.069995900000002</v>
      </c>
      <c r="K19" s="9">
        <v>36.6499977</v>
      </c>
      <c r="L19" s="9">
        <v>37.621617083985498</v>
      </c>
    </row>
    <row r="20" spans="1:12" x14ac:dyDescent="0.3">
      <c r="B20">
        <v>2</v>
      </c>
      <c r="C20" t="s">
        <v>20</v>
      </c>
      <c r="D20" s="3">
        <v>33.969997399999997</v>
      </c>
      <c r="E20" s="3">
        <v>37.5499954</v>
      </c>
      <c r="F20" s="3">
        <v>38.44917413210743</v>
      </c>
      <c r="G20" s="6">
        <v>33.969997399999997</v>
      </c>
      <c r="H20" s="6">
        <v>37.489997899999999</v>
      </c>
      <c r="I20" s="6">
        <v>38.394597981058553</v>
      </c>
      <c r="J20" s="9">
        <v>33.969997399999997</v>
      </c>
      <c r="K20" s="9">
        <v>37.529998800000001</v>
      </c>
      <c r="L20" s="9">
        <v>38.430984416501545</v>
      </c>
    </row>
    <row r="21" spans="1:12" x14ac:dyDescent="0.3">
      <c r="B21">
        <v>3</v>
      </c>
      <c r="C21" t="s">
        <v>20</v>
      </c>
      <c r="D21" s="3">
        <v>34.209999099999997</v>
      </c>
      <c r="E21" s="3">
        <v>37.529998800000001</v>
      </c>
      <c r="F21" s="3">
        <v>38.41015674218891</v>
      </c>
      <c r="G21" s="6">
        <v>34.249996199999998</v>
      </c>
      <c r="H21" s="6">
        <v>37.329998000000003</v>
      </c>
      <c r="I21" s="6">
        <v>38.224621871642526</v>
      </c>
      <c r="J21" s="9">
        <v>34.209999099999997</v>
      </c>
      <c r="K21" s="9">
        <v>37.449996900000002</v>
      </c>
      <c r="L21" s="9">
        <v>38.33733838181508</v>
      </c>
    </row>
  </sheetData>
  <mergeCells count="8">
    <mergeCell ref="N1:P1"/>
    <mergeCell ref="Q1:S1"/>
    <mergeCell ref="A1:A2"/>
    <mergeCell ref="B1:B2"/>
    <mergeCell ref="C1:C2"/>
    <mergeCell ref="D1:F1"/>
    <mergeCell ref="G1:I1"/>
    <mergeCell ref="J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K H</dc:creator>
  <cp:lastModifiedBy>Rishi K H</cp:lastModifiedBy>
  <dcterms:created xsi:type="dcterms:W3CDTF">2026-04-22T11:32:50Z</dcterms:created>
  <dcterms:modified xsi:type="dcterms:W3CDTF">2026-04-22T11:37:18Z</dcterms:modified>
</cp:coreProperties>
</file>